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defaultThemeVersion="124226"/>
  <mc:AlternateContent xmlns:mc="http://schemas.openxmlformats.org/markup-compatibility/2006">
    <mc:Choice Requires="x15">
      <x15ac:absPath xmlns:x15ac="http://schemas.microsoft.com/office/spreadsheetml/2010/11/ac" url="C:\Users\hannah.weddle\Desktop\PDF\"/>
    </mc:Choice>
  </mc:AlternateContent>
  <bookViews>
    <workbookView xWindow="0" yWindow="0" windowWidth="28800" windowHeight="12210"/>
  </bookViews>
  <sheets>
    <sheet name="Title Page" sheetId="8" r:id="rId1"/>
    <sheet name="Exh 1" sheetId="3" r:id="rId2"/>
    <sheet name="Exh 2" sheetId="6" r:id="rId3"/>
  </sheets>
  <calcPr calcId="171027"/>
  <extLst>
    <ext xmlns:mx="http://schemas.microsoft.com/office/mac/excel/2008/main" uri="{7523E5D3-25F3-A5E0-1632-64F254C22452}">
      <mx:ArchID Flags="2"/>
    </ext>
  </extLst>
</workbook>
</file>

<file path=xl/calcChain.xml><?xml version="1.0" encoding="utf-8"?>
<calcChain xmlns="http://schemas.openxmlformats.org/spreadsheetml/2006/main">
  <c r="B22" i="3" l="1"/>
  <c r="B24" i="3"/>
  <c r="B29" i="3"/>
  <c r="B30" i="3"/>
  <c r="C10" i="3"/>
  <c r="C13" i="3"/>
  <c r="C15" i="3" s="1"/>
  <c r="D10" i="3"/>
  <c r="D13" i="3" s="1"/>
  <c r="E10" i="3"/>
  <c r="E8" i="6" s="1"/>
  <c r="E13" i="3"/>
  <c r="E15" i="3" s="1"/>
  <c r="E29" i="3"/>
  <c r="D29" i="3"/>
  <c r="C29" i="3"/>
  <c r="E22" i="3"/>
  <c r="E24" i="3"/>
  <c r="D22" i="3"/>
  <c r="D24" i="3"/>
  <c r="C22" i="3"/>
  <c r="C24" i="3"/>
  <c r="B10" i="3"/>
  <c r="B13" i="3"/>
  <c r="B15" i="3" s="1"/>
  <c r="E18" i="6"/>
  <c r="D18" i="6"/>
  <c r="C18" i="6"/>
  <c r="B18" i="6"/>
  <c r="E17" i="6"/>
  <c r="E15" i="6"/>
  <c r="E16" i="6"/>
  <c r="D17" i="6"/>
  <c r="C17" i="6"/>
  <c r="B17" i="6"/>
  <c r="C15" i="6"/>
  <c r="C8" i="6"/>
  <c r="D7" i="6"/>
  <c r="D16" i="6"/>
  <c r="C16" i="6"/>
  <c r="D15" i="6"/>
  <c r="B16" i="6"/>
  <c r="B15" i="6"/>
  <c r="B8" i="6"/>
  <c r="E7" i="6"/>
  <c r="C7" i="6"/>
  <c r="B9" i="6"/>
  <c r="C9" i="6"/>
  <c r="D9" i="6" l="1"/>
  <c r="D15" i="3"/>
  <c r="C10" i="6"/>
  <c r="C12" i="6"/>
  <c r="C30" i="3"/>
  <c r="D30" i="3" s="1"/>
  <c r="E30" i="3" s="1"/>
  <c r="E13" i="6" s="1"/>
  <c r="B10" i="6"/>
  <c r="B12" i="6"/>
  <c r="B13" i="6"/>
  <c r="E12" i="6"/>
  <c r="E10" i="6"/>
  <c r="E9" i="6"/>
  <c r="D8" i="6"/>
  <c r="D12" i="6" l="1"/>
  <c r="D13" i="6"/>
  <c r="D10" i="6"/>
  <c r="C13" i="6"/>
</calcChain>
</file>

<file path=xl/sharedStrings.xml><?xml version="1.0" encoding="utf-8"?>
<sst xmlns="http://schemas.openxmlformats.org/spreadsheetml/2006/main" count="49" uniqueCount="48">
  <si>
    <t>Cash</t>
  </si>
  <si>
    <t>Accounts receivable</t>
  </si>
  <si>
    <t>Accounts payable</t>
  </si>
  <si>
    <t>Wages payable</t>
  </si>
  <si>
    <t>Revenue</t>
  </si>
  <si>
    <t xml:space="preserve">  Total assets</t>
  </si>
  <si>
    <t xml:space="preserve">  Current assets</t>
  </si>
  <si>
    <t>Profit and loss statement</t>
  </si>
  <si>
    <t>Balance sheet</t>
  </si>
  <si>
    <t>Exhibit 1</t>
  </si>
  <si>
    <t xml:space="preserve">  Cost of goods sold</t>
  </si>
  <si>
    <t>Gross profit</t>
  </si>
  <si>
    <t>SG&amp;A expense</t>
  </si>
  <si>
    <t xml:space="preserve">  Operating profit</t>
  </si>
  <si>
    <t>Other payables</t>
  </si>
  <si>
    <t>Taxes</t>
  </si>
  <si>
    <t xml:space="preserve">  Net profit</t>
  </si>
  <si>
    <t>Depreciation</t>
  </si>
  <si>
    <t>Exhibit 2</t>
  </si>
  <si>
    <t>Revenue growth</t>
  </si>
  <si>
    <t>Gross margin (Gross profit / Revenue)</t>
  </si>
  <si>
    <t>Receivable days (AR / Revenue * 365)</t>
  </si>
  <si>
    <t>Inventory days (Inventory / COGS * 365)</t>
  </si>
  <si>
    <t xml:space="preserve">  Current liabilities</t>
  </si>
  <si>
    <t>Capital expenditure</t>
  </si>
  <si>
    <t>Projected Horniman Horticulture Financial Summary (in thousands of dollars)</t>
  </si>
  <si>
    <t>Operating margin (Op. profit / Revenue)</t>
  </si>
  <si>
    <t>Net profit margin (Net profit / Revenue)</t>
  </si>
  <si>
    <t>Return on assets (Net profit / Total assets)</t>
  </si>
  <si>
    <t>Return on capital (Net profit / Total capital)</t>
  </si>
  <si>
    <t>HORNIMAN HORTICULTURE</t>
  </si>
  <si>
    <t>Financial Ratio Analysis and Benchmarking</t>
  </si>
  <si>
    <t xml:space="preserve">  Net worth </t>
  </si>
  <si>
    <t>Payable days (AP / Purchases * 365)</t>
  </si>
  <si>
    <t>NFA turnover (Revenue / NFA)</t>
  </si>
  <si>
    <r>
      <t>Benchmark</t>
    </r>
    <r>
      <rPr>
        <vertAlign val="superscript"/>
        <sz val="10"/>
        <rFont val="Times New Roman"/>
        <family val="1"/>
      </rPr>
      <t>1</t>
    </r>
  </si>
  <si>
    <r>
      <rPr>
        <vertAlign val="superscript"/>
        <sz val="10"/>
        <rFont val="Times New Roman"/>
        <family val="1"/>
      </rPr>
      <t>1</t>
    </r>
    <r>
      <rPr>
        <sz val="10"/>
        <rFont val="Times New Roman"/>
        <family val="1"/>
      </rPr>
      <t xml:space="preserve"> Inventory investment was valued at the lower of cost or market. The cost of inventory was determined by accumulating the costs associated with preparing the plants for sale. Costs that were typically capitalized as inventory included direct labor, materials (soil, water, containers, stakes, labels, chemicals), scrap, and overhead.</t>
    </r>
  </si>
  <si>
    <r>
      <rPr>
        <vertAlign val="superscript"/>
        <sz val="10"/>
        <rFont val="Times New Roman"/>
        <family val="1"/>
      </rPr>
      <t>2</t>
    </r>
    <r>
      <rPr>
        <sz val="10"/>
        <rFont val="Times New Roman"/>
        <family val="1"/>
      </rPr>
      <t xml:space="preserve"> Other current assets included consigned inventory, prepaid expenses, and assets held for sale.</t>
    </r>
  </si>
  <si>
    <r>
      <rPr>
        <vertAlign val="superscript"/>
        <sz val="10"/>
        <rFont val="Times New Roman"/>
        <family val="1"/>
      </rPr>
      <t>3</t>
    </r>
    <r>
      <rPr>
        <sz val="10"/>
        <rFont val="Times New Roman"/>
        <family val="1"/>
      </rPr>
      <t xml:space="preserve"> Net fixed assets included land, buildings and improvements, equipment, and software.</t>
    </r>
  </si>
  <si>
    <r>
      <rPr>
        <vertAlign val="superscript"/>
        <sz val="10"/>
        <rFont val="Times New Roman"/>
        <family val="1"/>
      </rPr>
      <t>4</t>
    </r>
    <r>
      <rPr>
        <sz val="10"/>
        <rFont val="Times New Roman"/>
        <family val="1"/>
      </rPr>
      <t xml:space="preserve"> Purchases represented the annual amount paid to suppliers.</t>
    </r>
  </si>
  <si>
    <r>
      <t>Purchases</t>
    </r>
    <r>
      <rPr>
        <vertAlign val="superscript"/>
        <sz val="10"/>
        <rFont val="Times New Roman"/>
        <family val="1"/>
      </rPr>
      <t>4</t>
    </r>
  </si>
  <si>
    <r>
      <t>Net fixed assets</t>
    </r>
    <r>
      <rPr>
        <vertAlign val="superscript"/>
        <sz val="10"/>
        <rFont val="Times New Roman"/>
        <family val="1"/>
      </rPr>
      <t>3</t>
    </r>
  </si>
  <si>
    <r>
      <t>Other current assets</t>
    </r>
    <r>
      <rPr>
        <vertAlign val="superscript"/>
        <sz val="10"/>
        <rFont val="Times New Roman"/>
        <family val="1"/>
      </rPr>
      <t>2</t>
    </r>
  </si>
  <si>
    <r>
      <t>Inventory</t>
    </r>
    <r>
      <rPr>
        <vertAlign val="superscript"/>
        <sz val="10"/>
        <rFont val="Times New Roman"/>
        <family val="1"/>
      </rPr>
      <t>1</t>
    </r>
  </si>
  <si>
    <r>
      <rPr>
        <vertAlign val="superscript"/>
        <sz val="10"/>
        <rFont val="Times New Roman"/>
        <family val="1"/>
      </rPr>
      <t>1</t>
    </r>
    <r>
      <rPr>
        <sz val="12"/>
        <rFont val="Times New Roman"/>
        <family val="1"/>
      </rPr>
      <t>Benchmark figures are based on 2014 financial ratios of publicly traded horticulture producers.</t>
    </r>
  </si>
  <si>
    <t>This spreadsheet supports STUDENT analysis of the case “Horniman Horticulture” (UVA-F-1512).</t>
  </si>
  <si>
    <r>
      <rPr>
        <sz val="10"/>
        <color indexed="8"/>
        <rFont val="Times New Roman"/>
        <family val="1"/>
      </rPr>
      <t xml:space="preserve">This spreadsheet was prepared by Michael J. Schill, Professor of Business Administration. Copyright © 2011 by the University of Virginia Darden School Foundation, Charlottesville, VA. All rights reserved.  </t>
    </r>
    <r>
      <rPr>
        <i/>
        <sz val="10"/>
        <color indexed="8"/>
        <rFont val="Times New Roman"/>
        <family val="1"/>
      </rPr>
      <t xml:space="preserve">For customer service inquiries, send an e-mail to </t>
    </r>
    <r>
      <rPr>
        <sz val="10"/>
        <color indexed="8"/>
        <rFont val="Times New Roman"/>
        <family val="1"/>
      </rPr>
      <t>sales@dardenbusinesspublishing.com</t>
    </r>
    <r>
      <rPr>
        <i/>
        <sz val="10"/>
        <color indexed="8"/>
        <rFont val="Times New Roman"/>
        <family val="1"/>
      </rPr>
      <t xml:space="preserve">. No part of this publication may be reproduced, stored in a retrieval system, posted to the Internet, or transmitted in any form or by any means—electronic, mechanical, photocopying, recording, or otherwise—without the permission of the Darden School Foundation.  </t>
    </r>
  </si>
  <si>
    <t>Rev. Nov. 2,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</si>
</sst>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0_);_(* \(#,##0.0\);_(* &quot;-&quot;??_);_(@_)"/>
    <numFmt numFmtId="165" formatCode="0.0%"/>
    <numFmt numFmtId="166" formatCode="#,##0.0"/>
    <numFmt numFmtId="167" formatCode="0.0"/>
    <numFmt numFmtId="168" formatCode="0.0%;\(0.0\)%"/>
  </numFmts>
  <fonts count="15" x14ac:knownFonts="1">
    <font>
      <sz val="10"/>
      <name val="Arial"/>
    </font>
    <font>
      <sz val="11"/>
      <color theme="1"/>
      <name val="Calibri"/>
      <family val="2"/>
      <scheme val="minor"/>
    </font>
    <font>
      <sz val="10"/>
      <name val="Arial"/>
      <family val="2"/>
    </font>
    <font>
      <sz val="10"/>
      <name val="Arial"/>
      <family val="2"/>
    </font>
    <font>
      <sz val="12"/>
      <name val="Times New Roman"/>
      <family val="1"/>
    </font>
    <font>
      <b/>
      <sz val="12"/>
      <name val="Times New Roman"/>
      <family val="1"/>
    </font>
    <font>
      <sz val="8"/>
      <name val="Arial"/>
      <family val="2"/>
    </font>
    <font>
      <vertAlign val="superscript"/>
      <sz val="12"/>
      <name val="Times New Roman"/>
      <family val="1"/>
    </font>
    <font>
      <sz val="10"/>
      <color theme="1"/>
      <name val="arial"/>
      <family val="2"/>
    </font>
    <font>
      <i/>
      <sz val="10"/>
      <color indexed="8"/>
      <name val="Times New Roman"/>
      <family val="1"/>
    </font>
    <font>
      <sz val="10"/>
      <color indexed="8"/>
      <name val="Times New Roman"/>
      <family val="1"/>
    </font>
    <font>
      <b/>
      <sz val="12"/>
      <name val="Arial"/>
      <family val="2"/>
    </font>
    <font>
      <vertAlign val="superscript"/>
      <sz val="10"/>
      <name val="Times New Roman"/>
      <family val="1"/>
    </font>
    <font>
      <sz val="10"/>
      <name val="Times New Roman"/>
      <family val="1"/>
    </font>
    <font>
      <sz val="8"/>
      <color theme="1"/>
      <name val="Times New Roman"/>
      <family val="1"/>
    </font>
  </fonts>
  <fills count="3">
    <fill>
      <patternFill patternType="none"/>
    </fill>
    <fill>
      <patternFill patternType="gray125"/>
    </fill>
    <fill>
      <patternFill patternType="solid">
        <fgColor rgb="FFF7903B"/>
        <bgColor indexed="64"/>
      </patternFill>
    </fill>
  </fills>
  <borders count="2">
    <border>
      <left/>
      <right/>
      <top/>
      <bottom/>
      <diagonal/>
    </border>
    <border>
      <left/>
      <right/>
      <top/>
      <bottom style="thin">
        <color auto="1"/>
      </bottom>
      <diagonal/>
    </border>
  </borders>
  <cellStyleXfs count="6">
    <xf numFmtId="0" fontId="0"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8" fillId="0" borderId="0"/>
    <xf numFmtId="0" fontId="3" fillId="0" borderId="0"/>
  </cellStyleXfs>
  <cellXfs count="31">
    <xf numFmtId="0" fontId="0" fillId="0" borderId="0" xfId="0"/>
    <xf numFmtId="0" fontId="4" fillId="0" borderId="0" xfId="0" applyFont="1" applyAlignment="1">
      <alignment horizontal="left"/>
    </xf>
    <xf numFmtId="0" fontId="4" fillId="0" borderId="0" xfId="0" applyFont="1"/>
    <xf numFmtId="0" fontId="5" fillId="0" borderId="0" xfId="0" applyFont="1"/>
    <xf numFmtId="166" fontId="4" fillId="0" borderId="0" xfId="0" applyNumberFormat="1" applyFont="1"/>
    <xf numFmtId="9" fontId="4" fillId="0" borderId="0" xfId="2" applyFont="1"/>
    <xf numFmtId="165" fontId="4" fillId="0" borderId="0" xfId="2" applyNumberFormat="1" applyFont="1"/>
    <xf numFmtId="167" fontId="4" fillId="0" borderId="0" xfId="0" applyNumberFormat="1" applyFont="1"/>
    <xf numFmtId="0" fontId="5" fillId="0" borderId="0" xfId="0" applyFont="1" applyAlignment="1">
      <alignment horizontal="left"/>
    </xf>
    <xf numFmtId="167" fontId="4" fillId="0" borderId="0" xfId="2" applyNumberFormat="1" applyFont="1"/>
    <xf numFmtId="167" fontId="4" fillId="0" borderId="0" xfId="0" applyNumberFormat="1" applyFont="1" applyBorder="1"/>
    <xf numFmtId="0" fontId="7" fillId="0" borderId="0" xfId="0" applyFont="1"/>
    <xf numFmtId="2" fontId="4" fillId="0" borderId="0" xfId="2" applyNumberFormat="1" applyFont="1"/>
    <xf numFmtId="0" fontId="4" fillId="0" borderId="0" xfId="0" applyFont="1" applyAlignment="1">
      <alignment horizontal="right"/>
    </xf>
    <xf numFmtId="164" fontId="4" fillId="0" borderId="0" xfId="1" applyNumberFormat="1" applyFont="1" applyAlignment="1">
      <alignment horizontal="right"/>
    </xf>
    <xf numFmtId="0" fontId="1" fillId="0" borderId="0" xfId="3"/>
    <xf numFmtId="0" fontId="1" fillId="0" borderId="0" xfId="3" applyBorder="1"/>
    <xf numFmtId="0" fontId="11" fillId="0" borderId="0" xfId="5" applyFont="1" applyFill="1" applyAlignment="1">
      <alignment horizontal="center" vertical="center" wrapText="1"/>
    </xf>
    <xf numFmtId="0" fontId="4" fillId="2" borderId="0" xfId="5" applyFont="1" applyFill="1" applyAlignment="1">
      <alignment horizontal="center" vertical="center" wrapText="1"/>
    </xf>
    <xf numFmtId="0" fontId="4" fillId="0" borderId="1" xfId="0" applyFont="1" applyBorder="1"/>
    <xf numFmtId="168" fontId="4" fillId="0" borderId="0" xfId="2" applyNumberFormat="1" applyFont="1"/>
    <xf numFmtId="167" fontId="4" fillId="0" borderId="1" xfId="0" applyNumberFormat="1" applyFont="1" applyBorder="1"/>
    <xf numFmtId="0" fontId="13" fillId="0" borderId="0" xfId="0" applyFont="1"/>
    <xf numFmtId="0" fontId="13" fillId="0" borderId="0" xfId="0" applyFont="1" applyAlignment="1">
      <alignment horizontal="justify" wrapText="1"/>
    </xf>
    <xf numFmtId="0" fontId="14" fillId="0" borderId="0" xfId="3" applyFont="1"/>
    <xf numFmtId="0" fontId="9" fillId="0" borderId="0" xfId="4" applyFont="1" applyBorder="1" applyAlignment="1">
      <alignment horizontal="justify" vertical="top" wrapText="1"/>
    </xf>
    <xf numFmtId="0" fontId="8" fillId="0" borderId="0" xfId="4" applyAlignment="1">
      <alignment wrapText="1"/>
    </xf>
    <xf numFmtId="0" fontId="13" fillId="0" borderId="0" xfId="0" applyFont="1" applyAlignment="1">
      <alignment wrapText="1"/>
    </xf>
    <xf numFmtId="0" fontId="4" fillId="0" borderId="0" xfId="0" applyFont="1" applyAlignment="1">
      <alignment horizontal="center"/>
    </xf>
    <xf numFmtId="0" fontId="5" fillId="0" borderId="0" xfId="0" applyFont="1" applyAlignment="1">
      <alignment horizontal="center"/>
    </xf>
    <xf numFmtId="0" fontId="13" fillId="0" borderId="0" xfId="0" applyFont="1" applyAlignment="1">
      <alignment horizontal="justify" wrapText="1"/>
    </xf>
  </cellXfs>
  <cellStyles count="6">
    <cellStyle name="Comma" xfId="1" builtinId="3"/>
    <cellStyle name="Normal" xfId="0" builtinId="0"/>
    <cellStyle name="Normal 2" xfId="3"/>
    <cellStyle name="Normal 2 2" xfId="5"/>
    <cellStyle name="Normal 3" xfI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95250</xdr:rowOff>
    </xdr:from>
    <xdr:to>
      <xdr:col>0</xdr:col>
      <xdr:colOff>1463421</xdr:colOff>
      <xdr:row>1</xdr:row>
      <xdr:rowOff>735330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285750"/>
          <a:ext cx="1377696" cy="6400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7"/>
  <sheetViews>
    <sheetView tabSelected="1" workbookViewId="0">
      <selection activeCell="A6" sqref="A6"/>
    </sheetView>
  </sheetViews>
  <sheetFormatPr defaultColWidth="9.140625" defaultRowHeight="15" x14ac:dyDescent="0.25"/>
  <cols>
    <col min="1" max="1" width="23.42578125" style="15" customWidth="1"/>
    <col min="2" max="2" width="100.28515625" style="15" customWidth="1"/>
    <col min="3" max="16384" width="9.140625" style="15"/>
  </cols>
  <sheetData>
    <row r="2" spans="1:2" ht="65.25" customHeight="1" x14ac:dyDescent="0.25">
      <c r="B2" s="18" t="s">
        <v>45</v>
      </c>
    </row>
    <row r="3" spans="1:2" ht="13.5" customHeight="1" x14ac:dyDescent="0.25">
      <c r="A3" s="17"/>
      <c r="B3" s="17"/>
    </row>
    <row r="4" spans="1:2" ht="54" customHeight="1" x14ac:dyDescent="0.25">
      <c r="A4" s="25" t="s">
        <v>46</v>
      </c>
      <c r="B4" s="26"/>
    </row>
    <row r="5" spans="1:2" x14ac:dyDescent="0.25">
      <c r="A5" s="24" t="s">
        <v>47</v>
      </c>
    </row>
    <row r="6" spans="1:2" x14ac:dyDescent="0.25">
      <c r="A6" s="16"/>
      <c r="B6" s="16"/>
    </row>
    <row r="7" spans="1:2" x14ac:dyDescent="0.25">
      <c r="A7" s="16"/>
    </row>
  </sheetData>
  <mergeCells count="1">
    <mergeCell ref="A4:B4"/>
  </mergeCells>
  <pageMargins left="0.7" right="0.7" top="0.75" bottom="0.75" header="0.3" footer="0.3"/>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showGridLines="0" workbookViewId="0">
      <selection sqref="A1:E1"/>
    </sheetView>
  </sheetViews>
  <sheetFormatPr defaultColWidth="8.85546875" defaultRowHeight="15.75" x14ac:dyDescent="0.25"/>
  <cols>
    <col min="1" max="1" width="27.42578125" style="2" customWidth="1"/>
    <col min="2" max="2" width="10.7109375" style="2" customWidth="1"/>
    <col min="3" max="3" width="10.42578125" style="2" customWidth="1"/>
    <col min="4" max="4" width="11" style="2" customWidth="1"/>
    <col min="5" max="5" width="9.42578125" style="2" customWidth="1"/>
    <col min="6" max="16384" width="8.85546875" style="2"/>
  </cols>
  <sheetData>
    <row r="1" spans="1:5" x14ac:dyDescent="0.25">
      <c r="A1" s="28" t="s">
        <v>9</v>
      </c>
      <c r="B1" s="28"/>
      <c r="C1" s="28"/>
      <c r="D1" s="28"/>
      <c r="E1" s="28"/>
    </row>
    <row r="2" spans="1:5" x14ac:dyDescent="0.25">
      <c r="A2" s="29" t="s">
        <v>30</v>
      </c>
      <c r="B2" s="29"/>
      <c r="C2" s="29"/>
      <c r="D2" s="29"/>
      <c r="E2" s="29"/>
    </row>
    <row r="3" spans="1:5" x14ac:dyDescent="0.25">
      <c r="A3" s="28" t="s">
        <v>25</v>
      </c>
      <c r="B3" s="29"/>
      <c r="C3" s="29"/>
      <c r="D3" s="29"/>
      <c r="E3" s="29"/>
    </row>
    <row r="4" spans="1:5" x14ac:dyDescent="0.25">
      <c r="A4" s="8"/>
    </row>
    <row r="5" spans="1:5" x14ac:dyDescent="0.25">
      <c r="A5" s="1"/>
    </row>
    <row r="6" spans="1:5" x14ac:dyDescent="0.25">
      <c r="A6" s="1"/>
      <c r="B6" s="19">
        <v>2012</v>
      </c>
      <c r="C6" s="19">
        <v>2013</v>
      </c>
      <c r="D6" s="19">
        <v>2014</v>
      </c>
      <c r="E6" s="19">
        <v>2015</v>
      </c>
    </row>
    <row r="7" spans="1:5" x14ac:dyDescent="0.25">
      <c r="A7" s="3" t="s">
        <v>7</v>
      </c>
      <c r="B7" s="4"/>
      <c r="C7" s="4"/>
      <c r="D7" s="4"/>
      <c r="E7" s="5"/>
    </row>
    <row r="8" spans="1:5" x14ac:dyDescent="0.25">
      <c r="A8" s="2" t="s">
        <v>4</v>
      </c>
      <c r="B8" s="7">
        <v>788.5</v>
      </c>
      <c r="C8" s="7">
        <v>807.6</v>
      </c>
      <c r="D8" s="7">
        <v>908.2</v>
      </c>
      <c r="E8" s="7">
        <v>1048.8</v>
      </c>
    </row>
    <row r="9" spans="1:5" x14ac:dyDescent="0.25">
      <c r="A9" s="2" t="s">
        <v>10</v>
      </c>
      <c r="B9" s="21">
        <v>402.9</v>
      </c>
      <c r="C9" s="21">
        <v>428.8</v>
      </c>
      <c r="D9" s="21">
        <v>437.7</v>
      </c>
      <c r="E9" s="21">
        <v>503.4</v>
      </c>
    </row>
    <row r="10" spans="1:5" x14ac:dyDescent="0.25">
      <c r="A10" s="2" t="s">
        <v>11</v>
      </c>
      <c r="B10" s="7">
        <f>B8-B9</f>
        <v>385.6</v>
      </c>
      <c r="C10" s="7">
        <f>C8-C9</f>
        <v>378.8</v>
      </c>
      <c r="D10" s="7">
        <f>D8-D9</f>
        <v>470.50000000000006</v>
      </c>
      <c r="E10" s="7">
        <f>E8-E9</f>
        <v>545.4</v>
      </c>
    </row>
    <row r="11" spans="1:5" x14ac:dyDescent="0.25">
      <c r="A11" s="2" t="s">
        <v>12</v>
      </c>
      <c r="B11" s="7">
        <v>301.2</v>
      </c>
      <c r="C11" s="7">
        <v>302</v>
      </c>
      <c r="D11" s="7">
        <v>356</v>
      </c>
      <c r="E11" s="7">
        <v>404.5</v>
      </c>
    </row>
    <row r="12" spans="1:5" x14ac:dyDescent="0.25">
      <c r="A12" s="2" t="s">
        <v>17</v>
      </c>
      <c r="B12" s="21">
        <v>34.200000000000003</v>
      </c>
      <c r="C12" s="21">
        <v>38.4</v>
      </c>
      <c r="D12" s="21">
        <v>36.299999999999997</v>
      </c>
      <c r="E12" s="21">
        <v>40.9</v>
      </c>
    </row>
    <row r="13" spans="1:5" x14ac:dyDescent="0.25">
      <c r="A13" s="2" t="s">
        <v>13</v>
      </c>
      <c r="B13" s="7">
        <f>B10-B11-B12</f>
        <v>50.200000000000031</v>
      </c>
      <c r="C13" s="7">
        <f>C10-C11-C12</f>
        <v>38.400000000000013</v>
      </c>
      <c r="D13" s="7">
        <f>D10-D11-D12</f>
        <v>78.20000000000006</v>
      </c>
      <c r="E13" s="7">
        <f>E10-E11-E12</f>
        <v>99.999999999999972</v>
      </c>
    </row>
    <row r="14" spans="1:5" x14ac:dyDescent="0.25">
      <c r="A14" s="2" t="s">
        <v>15</v>
      </c>
      <c r="B14" s="21">
        <v>17.600000000000001</v>
      </c>
      <c r="C14" s="21">
        <v>13.1</v>
      </c>
      <c r="D14" s="21">
        <v>26.2</v>
      </c>
      <c r="E14" s="21">
        <v>39.200000000000003</v>
      </c>
    </row>
    <row r="15" spans="1:5" x14ac:dyDescent="0.25">
      <c r="A15" s="2" t="s">
        <v>16</v>
      </c>
      <c r="B15" s="7">
        <f>B13-B14</f>
        <v>32.60000000000003</v>
      </c>
      <c r="C15" s="7">
        <f>C13-C14</f>
        <v>25.300000000000011</v>
      </c>
      <c r="D15" s="7">
        <f>D13-D14</f>
        <v>52.000000000000057</v>
      </c>
      <c r="E15" s="7">
        <f>E13-E14</f>
        <v>60.799999999999969</v>
      </c>
    </row>
    <row r="16" spans="1:5" x14ac:dyDescent="0.25">
      <c r="B16" s="7"/>
      <c r="C16" s="7"/>
      <c r="D16" s="7"/>
      <c r="E16" s="12"/>
    </row>
    <row r="17" spans="1:6" x14ac:dyDescent="0.25">
      <c r="A17" s="3" t="s">
        <v>8</v>
      </c>
      <c r="B17" s="7"/>
      <c r="C17" s="7"/>
      <c r="E17" s="9"/>
    </row>
    <row r="18" spans="1:6" x14ac:dyDescent="0.25">
      <c r="A18" s="2" t="s">
        <v>0</v>
      </c>
      <c r="B18" s="7">
        <v>120.1</v>
      </c>
      <c r="C18" s="7">
        <v>105.2</v>
      </c>
      <c r="D18" s="7">
        <v>66.8</v>
      </c>
      <c r="E18" s="7">
        <v>9.4</v>
      </c>
    </row>
    <row r="19" spans="1:6" x14ac:dyDescent="0.25">
      <c r="A19" s="2" t="s">
        <v>1</v>
      </c>
      <c r="B19" s="7">
        <v>90.6</v>
      </c>
      <c r="C19" s="7">
        <v>99.5</v>
      </c>
      <c r="D19" s="7">
        <v>119.5</v>
      </c>
      <c r="E19" s="7">
        <v>146.4</v>
      </c>
    </row>
    <row r="20" spans="1:6" ht="16.5" x14ac:dyDescent="0.25">
      <c r="A20" s="2" t="s">
        <v>43</v>
      </c>
      <c r="B20" s="7">
        <v>468.3</v>
      </c>
      <c r="C20" s="7">
        <v>507.6</v>
      </c>
      <c r="D20" s="7">
        <v>523.4</v>
      </c>
      <c r="E20" s="7">
        <v>656.9</v>
      </c>
      <c r="F20" s="7"/>
    </row>
    <row r="21" spans="1:6" ht="16.5" x14ac:dyDescent="0.25">
      <c r="A21" s="2" t="s">
        <v>42</v>
      </c>
      <c r="B21" s="21">
        <v>20.9</v>
      </c>
      <c r="C21" s="21">
        <v>19.3</v>
      </c>
      <c r="D21" s="21">
        <v>22.6</v>
      </c>
      <c r="E21" s="21">
        <v>20.9</v>
      </c>
    </row>
    <row r="22" spans="1:6" x14ac:dyDescent="0.25">
      <c r="A22" s="2" t="s">
        <v>6</v>
      </c>
      <c r="B22" s="10">
        <f>SUM(B18:B21)</f>
        <v>699.9</v>
      </c>
      <c r="C22" s="10">
        <f>SUM(C18:C21)</f>
        <v>731.59999999999991</v>
      </c>
      <c r="D22" s="10">
        <f>SUM(D18:D21)</f>
        <v>732.30000000000007</v>
      </c>
      <c r="E22" s="10">
        <f>SUM(E18:E21)</f>
        <v>833.6</v>
      </c>
    </row>
    <row r="23" spans="1:6" ht="16.5" x14ac:dyDescent="0.25">
      <c r="A23" s="2" t="s">
        <v>41</v>
      </c>
      <c r="B23" s="21">
        <v>332.1</v>
      </c>
      <c r="C23" s="21">
        <v>332.5</v>
      </c>
      <c r="D23" s="21">
        <v>384.3</v>
      </c>
      <c r="E23" s="21">
        <v>347.9</v>
      </c>
    </row>
    <row r="24" spans="1:6" x14ac:dyDescent="0.25">
      <c r="A24" s="2" t="s">
        <v>5</v>
      </c>
      <c r="B24" s="7">
        <f>B22+B23</f>
        <v>1032</v>
      </c>
      <c r="C24" s="7">
        <f>C22+C23</f>
        <v>1064.0999999999999</v>
      </c>
      <c r="D24" s="7">
        <f>D22+D23</f>
        <v>1116.6000000000001</v>
      </c>
      <c r="E24" s="7">
        <f>E22+E23</f>
        <v>1181.5</v>
      </c>
    </row>
    <row r="25" spans="1:6" x14ac:dyDescent="0.25">
      <c r="B25" s="10"/>
      <c r="C25" s="10"/>
      <c r="D25" s="10"/>
      <c r="E25" s="10"/>
    </row>
    <row r="26" spans="1:6" x14ac:dyDescent="0.25">
      <c r="A26" s="2" t="s">
        <v>2</v>
      </c>
      <c r="B26" s="7">
        <v>6</v>
      </c>
      <c r="C26" s="7">
        <v>5.3</v>
      </c>
      <c r="D26" s="7">
        <v>4.5</v>
      </c>
      <c r="E26" s="7">
        <v>5</v>
      </c>
    </row>
    <row r="27" spans="1:6" x14ac:dyDescent="0.25">
      <c r="A27" s="2" t="s">
        <v>3</v>
      </c>
      <c r="B27" s="7">
        <v>19.7</v>
      </c>
      <c r="C27" s="7">
        <v>22</v>
      </c>
      <c r="D27" s="7">
        <v>22.1</v>
      </c>
      <c r="E27" s="7">
        <v>24.4</v>
      </c>
    </row>
    <row r="28" spans="1:6" x14ac:dyDescent="0.25">
      <c r="A28" s="2" t="s">
        <v>14</v>
      </c>
      <c r="B28" s="21">
        <v>10.199999999999999</v>
      </c>
      <c r="C28" s="21">
        <v>15.4</v>
      </c>
      <c r="D28" s="21">
        <v>16.600000000000001</v>
      </c>
      <c r="E28" s="21">
        <v>17.899999999999999</v>
      </c>
    </row>
    <row r="29" spans="1:6" x14ac:dyDescent="0.25">
      <c r="A29" s="2" t="s">
        <v>23</v>
      </c>
      <c r="B29" s="10">
        <f>SUM(B26:B28)</f>
        <v>35.9</v>
      </c>
      <c r="C29" s="10">
        <f>SUM(C26:C28)</f>
        <v>42.7</v>
      </c>
      <c r="D29" s="10">
        <f>SUM(D26:D28)</f>
        <v>43.2</v>
      </c>
      <c r="E29" s="10">
        <f>SUM(E26:E28)</f>
        <v>47.3</v>
      </c>
    </row>
    <row r="30" spans="1:6" x14ac:dyDescent="0.25">
      <c r="A30" s="2" t="s">
        <v>32</v>
      </c>
      <c r="B30" s="7">
        <f>B24-B29</f>
        <v>996.1</v>
      </c>
      <c r="C30" s="7">
        <f>B30+C15</f>
        <v>1021.4000000000001</v>
      </c>
      <c r="D30" s="7">
        <f>C30+D15</f>
        <v>1073.4000000000001</v>
      </c>
      <c r="E30" s="7">
        <f>D30+E15</f>
        <v>1134.2</v>
      </c>
    </row>
    <row r="31" spans="1:6" x14ac:dyDescent="0.25">
      <c r="B31" s="7"/>
      <c r="C31" s="7"/>
      <c r="D31" s="7"/>
      <c r="E31" s="7"/>
    </row>
    <row r="32" spans="1:6" x14ac:dyDescent="0.25">
      <c r="A32" s="2" t="s">
        <v>24</v>
      </c>
      <c r="B32" s="7">
        <v>22</v>
      </c>
      <c r="C32" s="7">
        <v>38.799999999999997</v>
      </c>
      <c r="D32" s="7">
        <v>88.1</v>
      </c>
      <c r="E32" s="7">
        <v>4.5</v>
      </c>
    </row>
    <row r="33" spans="1:6" ht="16.5" x14ac:dyDescent="0.25">
      <c r="A33" s="2" t="s">
        <v>40</v>
      </c>
      <c r="B33" s="2">
        <v>140.80000000000001</v>
      </c>
      <c r="C33" s="2">
        <v>145.19999999999999</v>
      </c>
      <c r="D33" s="2">
        <v>161.19999999999999</v>
      </c>
      <c r="E33" s="2">
        <v>185.1</v>
      </c>
    </row>
    <row r="35" spans="1:6" ht="57.75" customHeight="1" x14ac:dyDescent="0.25">
      <c r="A35" s="30" t="s">
        <v>36</v>
      </c>
      <c r="B35" s="30"/>
      <c r="C35" s="30"/>
      <c r="D35" s="30"/>
      <c r="E35" s="30"/>
      <c r="F35" s="23"/>
    </row>
    <row r="36" spans="1:6" ht="28.5" customHeight="1" x14ac:dyDescent="0.25">
      <c r="A36" s="27" t="s">
        <v>37</v>
      </c>
      <c r="B36" s="27"/>
      <c r="C36" s="27"/>
      <c r="D36" s="27"/>
      <c r="E36" s="27"/>
    </row>
    <row r="37" spans="1:6" ht="16.5" x14ac:dyDescent="0.25">
      <c r="A37" s="22" t="s">
        <v>38</v>
      </c>
    </row>
    <row r="38" spans="1:6" ht="16.5" x14ac:dyDescent="0.25">
      <c r="A38" s="22" t="s">
        <v>39</v>
      </c>
    </row>
  </sheetData>
  <mergeCells count="5">
    <mergeCell ref="A36:E36"/>
    <mergeCell ref="A1:E1"/>
    <mergeCell ref="A2:E2"/>
    <mergeCell ref="A3:E3"/>
    <mergeCell ref="A35:E35"/>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workbookViewId="0">
      <selection sqref="A1:G1"/>
    </sheetView>
  </sheetViews>
  <sheetFormatPr defaultColWidth="8.85546875" defaultRowHeight="15.75" x14ac:dyDescent="0.25"/>
  <cols>
    <col min="1" max="1" width="38.28515625" style="2" customWidth="1"/>
    <col min="2" max="5" width="8.28515625" style="2" customWidth="1"/>
    <col min="6" max="6" width="1.7109375" style="2" customWidth="1"/>
    <col min="7" max="7" width="10.7109375" style="2" customWidth="1"/>
    <col min="8" max="16384" width="8.85546875" style="2"/>
  </cols>
  <sheetData>
    <row r="1" spans="1:7" x14ac:dyDescent="0.25">
      <c r="A1" s="28" t="s">
        <v>18</v>
      </c>
      <c r="B1" s="28"/>
      <c r="C1" s="28"/>
      <c r="D1" s="28"/>
      <c r="E1" s="28"/>
      <c r="F1" s="28"/>
      <c r="G1" s="28"/>
    </row>
    <row r="2" spans="1:7" x14ac:dyDescent="0.25">
      <c r="A2" s="29" t="s">
        <v>30</v>
      </c>
      <c r="B2" s="29"/>
      <c r="C2" s="29"/>
      <c r="D2" s="29"/>
      <c r="E2" s="29"/>
      <c r="F2" s="29"/>
      <c r="G2" s="29"/>
    </row>
    <row r="3" spans="1:7" x14ac:dyDescent="0.25">
      <c r="A3" s="28" t="s">
        <v>31</v>
      </c>
      <c r="B3" s="28"/>
      <c r="C3" s="28"/>
      <c r="D3" s="28"/>
      <c r="E3" s="28"/>
      <c r="F3" s="28"/>
      <c r="G3" s="28"/>
    </row>
    <row r="4" spans="1:7" x14ac:dyDescent="0.25">
      <c r="A4" s="1"/>
    </row>
    <row r="5" spans="1:7" ht="16.5" x14ac:dyDescent="0.25">
      <c r="A5" s="1"/>
      <c r="B5" s="19">
        <v>2012</v>
      </c>
      <c r="C5" s="19">
        <v>2013</v>
      </c>
      <c r="D5" s="19">
        <v>2014</v>
      </c>
      <c r="E5" s="19">
        <v>2015</v>
      </c>
      <c r="F5" s="19"/>
      <c r="G5" s="19" t="s">
        <v>35</v>
      </c>
    </row>
    <row r="6" spans="1:7" x14ac:dyDescent="0.25">
      <c r="A6" s="3"/>
      <c r="B6" s="4"/>
      <c r="C6" s="4"/>
      <c r="D6" s="4"/>
      <c r="E6" s="5"/>
    </row>
    <row r="7" spans="1:7" x14ac:dyDescent="0.25">
      <c r="A7" s="2" t="s">
        <v>19</v>
      </c>
      <c r="B7" s="6">
        <v>2.9000000000000001E-2</v>
      </c>
      <c r="C7" s="6">
        <f>'Exh 1'!C8/'Exh 1'!B8-1</f>
        <v>2.4223208623969539E-2</v>
      </c>
      <c r="D7" s="6">
        <f>'Exh 1'!D8/'Exh 1'!C8-1</f>
        <v>0.12456661713719663</v>
      </c>
      <c r="E7" s="6">
        <f>'Exh 1'!E8/'Exh 1'!D8-1</f>
        <v>0.15481171548117145</v>
      </c>
      <c r="G7" s="20">
        <v>-1.7999999999999999E-2</v>
      </c>
    </row>
    <row r="8" spans="1:7" x14ac:dyDescent="0.25">
      <c r="A8" s="2" t="s">
        <v>20</v>
      </c>
      <c r="B8" s="6">
        <f>'Exh 1'!B10/'Exh 1'!B8</f>
        <v>0.48902980342422325</v>
      </c>
      <c r="C8" s="6">
        <f>'Exh 1'!C10/'Exh 1'!C8</f>
        <v>0.46904408122833086</v>
      </c>
      <c r="D8" s="6">
        <f>'Exh 1'!D10/'Exh 1'!D8</f>
        <v>0.5180576965426118</v>
      </c>
      <c r="E8" s="6">
        <f>'Exh 1'!E10/'Exh 1'!E8</f>
        <v>0.52002288329519453</v>
      </c>
      <c r="G8" s="6">
        <v>0.48899999999999999</v>
      </c>
    </row>
    <row r="9" spans="1:7" x14ac:dyDescent="0.25">
      <c r="A9" s="2" t="s">
        <v>26</v>
      </c>
      <c r="B9" s="6">
        <f>'Exh 1'!B13/'Exh 1'!B8</f>
        <v>6.3665187064045697E-2</v>
      </c>
      <c r="C9" s="6">
        <f>'Exh 1'!C13/'Exh 1'!C8</f>
        <v>4.7548291233283815E-2</v>
      </c>
      <c r="D9" s="6">
        <f>'Exh 1'!D13/'Exh 1'!D8</f>
        <v>8.6104382294648812E-2</v>
      </c>
      <c r="E9" s="6">
        <f>'Exh 1'!E13/'Exh 1'!E8</f>
        <v>9.5347063310450009E-2</v>
      </c>
      <c r="G9" s="6">
        <v>7.5999999999999998E-2</v>
      </c>
    </row>
    <row r="10" spans="1:7" x14ac:dyDescent="0.25">
      <c r="A10" s="2" t="s">
        <v>27</v>
      </c>
      <c r="B10" s="6">
        <f>'Exh 1'!B15/'Exh 1'!B8</f>
        <v>4.1344324667089448E-2</v>
      </c>
      <c r="C10" s="6">
        <f>'Exh 1'!C15/'Exh 1'!C8</f>
        <v>3.1327389796929186E-2</v>
      </c>
      <c r="D10" s="6">
        <f>'Exh 1'!D15/'Exh 1'!D8</f>
        <v>5.7256110988769052E-2</v>
      </c>
      <c r="E10" s="6">
        <f>'Exh 1'!E15/'Exh 1'!E8</f>
        <v>5.7971014492753596E-2</v>
      </c>
      <c r="G10" s="6">
        <v>2.8000000000000001E-2</v>
      </c>
    </row>
    <row r="11" spans="1:7" x14ac:dyDescent="0.25">
      <c r="G11" s="6"/>
    </row>
    <row r="12" spans="1:7" x14ac:dyDescent="0.25">
      <c r="A12" s="2" t="s">
        <v>28</v>
      </c>
      <c r="B12" s="6">
        <f>'Exh 1'!B15/'Exh 1'!B24</f>
        <v>3.1589147286821731E-2</v>
      </c>
      <c r="C12" s="6">
        <f>'Exh 1'!C15/'Exh 1'!C24</f>
        <v>2.3775960905929906E-2</v>
      </c>
      <c r="D12" s="6">
        <f>'Exh 1'!D15/'Exh 1'!D24</f>
        <v>4.656994447429702E-2</v>
      </c>
      <c r="E12" s="6">
        <f>'Exh 1'!E15/'Exh 1'!E24</f>
        <v>5.1460008463817153E-2</v>
      </c>
      <c r="G12" s="6">
        <v>2.9000000000000001E-2</v>
      </c>
    </row>
    <row r="13" spans="1:7" x14ac:dyDescent="0.25">
      <c r="A13" s="2" t="s">
        <v>29</v>
      </c>
      <c r="B13" s="6">
        <f>'Exh 1'!B15/'Exh 1'!B30</f>
        <v>3.2727637787370777E-2</v>
      </c>
      <c r="C13" s="6">
        <f>'Exh 1'!C15/'Exh 1'!C30</f>
        <v>2.4769923634227541E-2</v>
      </c>
      <c r="D13" s="6">
        <f>'Exh 1'!D15/'Exh 1'!D30</f>
        <v>4.8444196012670068E-2</v>
      </c>
      <c r="E13" s="6">
        <f>'Exh 1'!E15/'Exh 1'!E30</f>
        <v>5.3606065949567946E-2</v>
      </c>
      <c r="G13" s="6">
        <v>0.04</v>
      </c>
    </row>
    <row r="15" spans="1:7" x14ac:dyDescent="0.25">
      <c r="A15" s="2" t="s">
        <v>21</v>
      </c>
      <c r="B15" s="7">
        <f>'Exh 1'!B19/'Exh 1'!B8*365</f>
        <v>41.939124920735566</v>
      </c>
      <c r="C15" s="7">
        <f>'Exh 1'!C19/'Exh 1'!C8*365</f>
        <v>44.969663199603758</v>
      </c>
      <c r="D15" s="7">
        <f>'Exh 1'!D19/'Exh 1'!D8*365</f>
        <v>48.026315789473685</v>
      </c>
      <c r="E15" s="7">
        <f>'Exh 1'!E19/'Exh 1'!E8*365</f>
        <v>50.949656750572089</v>
      </c>
      <c r="G15" s="7">
        <v>21.8</v>
      </c>
    </row>
    <row r="16" spans="1:7" x14ac:dyDescent="0.25">
      <c r="A16" s="2" t="s">
        <v>22</v>
      </c>
      <c r="B16" s="7">
        <f>'Exh 1'!B20/'Exh 1'!B9*365</f>
        <v>424.24795234549521</v>
      </c>
      <c r="C16" s="7">
        <f>'Exh 1'!C20/'Exh 1'!C9*365</f>
        <v>432.07555970149252</v>
      </c>
      <c r="D16" s="7">
        <f>'Exh 1'!D20/'Exh 1'!D9*365</f>
        <v>436.46561571852868</v>
      </c>
      <c r="E16" s="7">
        <f>'Exh 1'!E20/'Exh 1'!E9*365</f>
        <v>476.29817242749306</v>
      </c>
      <c r="G16" s="7">
        <v>386.3</v>
      </c>
    </row>
    <row r="17" spans="1:7" x14ac:dyDescent="0.25">
      <c r="A17" s="2" t="s">
        <v>33</v>
      </c>
      <c r="B17" s="7">
        <f>'Exh 1'!B26/'Exh 1'!B33*365</f>
        <v>15.553977272727272</v>
      </c>
      <c r="C17" s="7">
        <f>'Exh 1'!C26/'Exh 1'!C33*365</f>
        <v>13.323002754820937</v>
      </c>
      <c r="D17" s="7">
        <f>'Exh 1'!D26/'Exh 1'!D33*365</f>
        <v>10.189205955334989</v>
      </c>
      <c r="E17" s="7">
        <f>'Exh 1'!E26/'Exh 1'!E33*365</f>
        <v>9.8595353862776882</v>
      </c>
      <c r="G17" s="7">
        <v>26.9</v>
      </c>
    </row>
    <row r="18" spans="1:7" x14ac:dyDescent="0.25">
      <c r="A18" s="2" t="s">
        <v>34</v>
      </c>
      <c r="B18" s="14">
        <f>'Exh 1'!B8/'Exh 1'!B23</f>
        <v>2.3742848539596504</v>
      </c>
      <c r="C18" s="14">
        <f>'Exh 1'!C8/'Exh 1'!C23</f>
        <v>2.428872180451128</v>
      </c>
      <c r="D18" s="14">
        <f>'Exh 1'!D8/'Exh 1'!D23</f>
        <v>2.3632578714545929</v>
      </c>
      <c r="E18" s="14">
        <f>'Exh 1'!E8/'Exh 1'!E23</f>
        <v>3.0146593848807131</v>
      </c>
      <c r="F18" s="13"/>
      <c r="G18" s="13">
        <v>2.7</v>
      </c>
    </row>
    <row r="20" spans="1:7" ht="18.75" x14ac:dyDescent="0.25">
      <c r="A20" s="11" t="s">
        <v>44</v>
      </c>
    </row>
  </sheetData>
  <mergeCells count="3">
    <mergeCell ref="A1:G1"/>
    <mergeCell ref="A2:G2"/>
    <mergeCell ref="A3:G3"/>
  </mergeCells>
  <phoneticPr fontId="6" type="noConversion"/>
  <pageMargins left="0.75" right="0.75" top="1" bottom="1"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Content_x0020_Name xmlns="3280b98c-2d7e-449d-b713-5a352c511315">9332</Content_x0020_Name>
    <Mode xmlns="3280b98c-2d7e-449d-b713-5a352c511315">2</Mode>
    <Content_x0020_Type xmlns="3280b98c-2d7e-449d-b713-5a352c511315">9</Content_x0020_Type>
    <Product_x0020_Type xmlns="3280b98c-2d7e-449d-b713-5a352c511315" xsi:nil="true"/>
    <Workflow_x0020_Instance_x0020_Name xmlns="3280b98c-2d7e-449d-b713-5a352c511315">3636</Workflow_x0020_Instance_x0020_Name>
    <Target_x0020_Audiences xmlns="3280b98c-2d7e-449d-b713-5a352c511315" xsi:nil="true"/>
    <Faculty_x0020_Sponsor xmlns="3280b98c-2d7e-449d-b713-5a352c511315">
      <UserInfo>
        <DisplayName>Schill, Michael J.</DisplayName>
        <AccountId>112</AccountId>
        <AccountType/>
      </UserInfo>
    </Faculty_x0020_Sponsor>
    <Reviewer xmlns="3280b98c-2d7e-449d-b713-5a352c511315">
      <UserInfo>
        <DisplayName>Schill, Michael J.</DisplayName>
        <AccountId>112</AccountId>
        <AccountType/>
      </UserInfo>
    </Reviewer>
    <Comments xmlns="3280b98c-2d7e-449d-b713-5a352c51131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E423D29324CE4C81F8A9ED93508B14" ma:contentTypeVersion="20" ma:contentTypeDescription="Create a new document." ma:contentTypeScope="" ma:versionID="86bcd07dd7887262605823f1c04d73ba">
  <xsd:schema xmlns:xsd="http://www.w3.org/2001/XMLSchema" xmlns:xs="http://www.w3.org/2001/XMLSchema" xmlns:p="http://schemas.microsoft.com/office/2006/metadata/properties" xmlns:ns2="3280b98c-2d7e-449d-b713-5a352c511315" targetNamespace="http://schemas.microsoft.com/office/2006/metadata/properties" ma:root="true" ma:fieldsID="b63e78a39b42928810968ce9a38bdfa0" ns2:_="">
    <xsd:import namespace="3280b98c-2d7e-449d-b713-5a352c511315"/>
    <xsd:element name="properties">
      <xsd:complexType>
        <xsd:sequence>
          <xsd:element name="documentManagement">
            <xsd:complexType>
              <xsd:all>
                <xsd:element ref="ns2:Content_x0020_Name"/>
                <xsd:element ref="ns2:Workflow_x0020_Instance_x0020_Name" minOccurs="0"/>
                <xsd:element ref="ns2:Workflow_x0020_Instance_x0020_Name_x003a_ID" minOccurs="0"/>
                <xsd:element ref="ns2:Content_x0020_Name_x003a_ID" minOccurs="0"/>
                <xsd:element ref="ns2:Product_x0020_Type" minOccurs="0"/>
                <xsd:element ref="ns2:Content_x0020_Name_x003a_Title" minOccurs="0"/>
                <xsd:element ref="ns2:Comments" minOccurs="0"/>
                <xsd:element ref="ns2:Target_x0020_Audiences" minOccurs="0"/>
                <xsd:element ref="ns2:Faculty_x0020_Sponsor" minOccurs="0"/>
                <xsd:element ref="ns2:Reviewer" minOccurs="0"/>
                <xsd:element ref="ns2:Mode" minOccurs="0"/>
                <xsd:element ref="ns2:Content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80b98c-2d7e-449d-b713-5a352c511315" elementFormDefault="qualified">
    <xsd:import namespace="http://schemas.microsoft.com/office/2006/documentManagement/types"/>
    <xsd:import namespace="http://schemas.microsoft.com/office/infopath/2007/PartnerControls"/>
    <xsd:element name="Content_x0020_Name" ma:index="8" ma:displayName="Content Name" ma:indexed="true" ma:list="{2a1dccef-5bbd-4239-9d2c-9dab3c3bdaeb}" ma:internalName="Content_x0020_Name" ma:readOnly="false" ma:showField="Title">
      <xsd:simpleType>
        <xsd:restriction base="dms:Lookup"/>
      </xsd:simpleType>
    </xsd:element>
    <xsd:element name="Workflow_x0020_Instance_x0020_Name" ma:index="9" nillable="true" ma:displayName="Workflow Instance Name" ma:list="{a3cd38c8-60df-4dc0-a0b2-c311c937c69e}" ma:internalName="Workflow_x0020_Instance_x0020_Name" ma:showField="Title">
      <xsd:simpleType>
        <xsd:restriction base="dms:Lookup"/>
      </xsd:simpleType>
    </xsd:element>
    <xsd:element name="Workflow_x0020_Instance_x0020_Name_x003a_ID" ma:index="10" nillable="true" ma:displayName="Workflow Instance Name:ID" ma:list="{a3cd38c8-60df-4dc0-a0b2-c311c937c69e}" ma:internalName="Workflow_x0020_Instance_x0020_Name_x003a_ID" ma:readOnly="true" ma:showField="ID" ma:web="d314d7ef-47d2-49ec-98a2-beb62148fffe">
      <xsd:simpleType>
        <xsd:restriction base="dms:Lookup"/>
      </xsd:simpleType>
    </xsd:element>
    <xsd:element name="Content_x0020_Name_x003a_ID" ma:index="11" nillable="true" ma:displayName="Content Name:ID" ma:list="{2a1dccef-5bbd-4239-9d2c-9dab3c3bdaeb}" ma:internalName="Content_x0020_Name_x003a_ID" ma:readOnly="true" ma:showField="ID" ma:web="d314d7ef-47d2-49ec-98a2-beb62148fffe">
      <xsd:simpleType>
        <xsd:restriction base="dms:Lookup"/>
      </xsd:simpleType>
    </xsd:element>
    <xsd:element name="Product_x0020_Type" ma:index="12" nillable="true" ma:displayName="Product Type" ma:list="{b8add45d-a9e3-4b61-9172-dff46669a501}" ma:internalName="Product_x0020_Type" ma:showField="Title">
      <xsd:simpleType>
        <xsd:restriction base="dms:Lookup"/>
      </xsd:simpleType>
    </xsd:element>
    <xsd:element name="Content_x0020_Name_x003a_Title" ma:index="13" nillable="true" ma:displayName="Content Name:Title" ma:list="{2a1dccef-5bbd-4239-9d2c-9dab3c3bdaeb}" ma:internalName="Content_x0020_Name_x003a_Title" ma:readOnly="true" ma:showField="Title0" ma:web="d314d7ef-47d2-49ec-98a2-beb62148fffe">
      <xsd:simpleType>
        <xsd:restriction base="dms:Lookup"/>
      </xsd:simpleType>
    </xsd:element>
    <xsd:element name="Comments" ma:index="14" nillable="true" ma:displayName="Comments" ma:internalName="Comments">
      <xsd:simpleType>
        <xsd:restriction base="dms:Note">
          <xsd:maxLength value="255"/>
        </xsd:restriction>
      </xsd:simpleType>
    </xsd:element>
    <xsd:element name="Target_x0020_Audiences" ma:index="15" nillable="true" ma:displayName="Target Audiences" ma:internalName="Target_x0020_Audiences">
      <xsd:simpleType>
        <xsd:restriction base="dms:Unknown"/>
      </xsd:simpleType>
    </xsd:element>
    <xsd:element name="Faculty_x0020_Sponsor" ma:index="16" nillable="true" ma:displayName="Faculty Sponsor" ma:list="UserInfo" ma:SharePointGroup="0" ma:internalName="Faculty_x0020_Sponso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r" ma:index="17" nillable="true" ma:displayName="Reviewer" ma:list="UserInfo" ma:SharePointGroup="0" ma:internalName="Reviewe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ode" ma:index="18" nillable="true" ma:displayName="Mode" ma:internalName="Mode">
      <xsd:simpleType>
        <xsd:restriction base="dms:Text">
          <xsd:maxLength value="255"/>
        </xsd:restriction>
      </xsd:simpleType>
    </xsd:element>
    <xsd:element name="Content_x0020_Type" ma:index="20" nillable="true" ma:displayName="Content Type" ma:list="{766e563b-7587-40d5-a39c-32c550c72680}" ma:internalName="Content_x0020_Typ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F18505D-C933-48B3-8501-CC4E4936503C}">
  <ds:schemaRefs>
    <ds:schemaRef ds:uri="http://schemas.microsoft.com/sharepoint/v3/contenttype/forms"/>
  </ds:schemaRefs>
</ds:datastoreItem>
</file>

<file path=customXml/itemProps2.xml><?xml version="1.0" encoding="utf-8"?>
<ds:datastoreItem xmlns:ds="http://schemas.openxmlformats.org/officeDocument/2006/customXml" ds:itemID="{5C01F56D-BED0-494A-9441-6552F7B78E2C}">
  <ds:schemaRefs>
    <ds:schemaRef ds:uri="http://purl.org/dc/terms/"/>
    <ds:schemaRef ds:uri="http://schemas.microsoft.com/office/2006/documentManagement/types"/>
    <ds:schemaRef ds:uri="3280b98c-2d7e-449d-b713-5a352c511315"/>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16DC9075-3C36-4301-9A87-FC3B1544E8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80b98c-2d7e-449d-b713-5a352c5113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220C3EF-ECE5-4989-B29B-B45D24072989}">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Exh 1</vt:lpstr>
      <vt:lpstr>Exh 2</vt:lpstr>
    </vt:vector>
  </TitlesOfParts>
  <Company>Darden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Horniman Horticulture (SPREADSHEET)</dc:title>
  <dc:subject/>
  <dc:creator>schillm</dc:creator>
  <cp:keywords/>
  <dc:description/>
  <cp:lastModifiedBy>Weddle, Hannah</cp:lastModifiedBy>
  <cp:lastPrinted>2005-08-14T03:51:38Z</cp:lastPrinted>
  <dcterms:created xsi:type="dcterms:W3CDTF">2005-08-14T03:51:38Z</dcterms:created>
  <dcterms:modified xsi:type="dcterms:W3CDTF">2016-11-07T21:05:30Z</dcterms:modified>
  <cp:category/>
  <cp:contentStatus>In Editing</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gnedRelease">
    <vt:lpwstr>No</vt:lpwstr>
  </property>
  <property fmtid="{D5CDD505-2E9C-101B-9397-08002B2CF9AE}" pid="3" name="Owner">
    <vt:lpwstr>64</vt:lpwstr>
  </property>
  <property fmtid="{D5CDD505-2E9C-101B-9397-08002B2CF9AE}" pid="4" name="SecondaryApproval">
    <vt:lpwstr>0</vt:lpwstr>
  </property>
  <property fmtid="{D5CDD505-2E9C-101B-9397-08002B2CF9AE}" pid="5" name="NoRelease">
    <vt:lpwstr>No</vt:lpwstr>
  </property>
  <property fmtid="{D5CDD505-2E9C-101B-9397-08002B2CF9AE}" pid="6" name="Logos">
    <vt:lpwstr>No</vt:lpwstr>
  </property>
  <property fmtid="{D5CDD505-2E9C-101B-9397-08002B2CF9AE}" pid="7" name="VersionModifier">
    <vt:lpwstr>5</vt:lpwstr>
  </property>
  <property fmtid="{D5CDD505-2E9C-101B-9397-08002B2CF9AE}" pid="8" name="RejectionText">
    <vt:lpwstr/>
  </property>
  <property fmtid="{D5CDD505-2E9C-101B-9397-08002B2CF9AE}" pid="9" name="ApprovalState">
    <vt:lpwstr>New Document</vt:lpwstr>
  </property>
  <property fmtid="{D5CDD505-2E9C-101B-9397-08002B2CF9AE}" pid="10" name="Assistant">
    <vt:lpwstr>BeckP</vt:lpwstr>
  </property>
  <property fmtid="{D5CDD505-2E9C-101B-9397-08002B2CF9AE}" pid="11" name="VersionModifierName">
    <vt:lpwstr>DARDEN\woodse</vt:lpwstr>
  </property>
  <property fmtid="{D5CDD505-2E9C-101B-9397-08002B2CF9AE}" pid="12" name="DocEditor">
    <vt:lpwstr>12</vt:lpwstr>
  </property>
  <property fmtid="{D5CDD505-2E9C-101B-9397-08002B2CF9AE}" pid="13" name="DateInEditing">
    <vt:lpwstr>2006-12-18T15:46:51Z</vt:lpwstr>
  </property>
  <property fmtid="{D5CDD505-2E9C-101B-9397-08002B2CF9AE}" pid="14" name="DSOwner">
    <vt:lpwstr/>
  </property>
  <property fmtid="{D5CDD505-2E9C-101B-9397-08002B2CF9AE}" pid="15" name="DEditor">
    <vt:lpwstr>21</vt:lpwstr>
  </property>
  <property fmtid="{D5CDD505-2E9C-101B-9397-08002B2CF9AE}" pid="16" name="DatePending">
    <vt:lpwstr/>
  </property>
  <property fmtid="{D5CDD505-2E9C-101B-9397-08002B2CF9AE}" pid="17" name="SubjectArea">
    <vt:lpwstr>Finance</vt:lpwstr>
  </property>
  <property fmtid="{D5CDD505-2E9C-101B-9397-08002B2CF9AE}" pid="18" name="MetadataURL">
    <vt:lpwstr>http://casemanagement.darden.virginia.edu/Lists/Editing%20Metadata/DispForm.aspx?ID=303, View Document Metadata</vt:lpwstr>
  </property>
  <property fmtid="{D5CDD505-2E9C-101B-9397-08002B2CF9AE}" pid="19" name="Order">
    <vt:r8>31000</vt:r8>
  </property>
  <property fmtid="{D5CDD505-2E9C-101B-9397-08002B2CF9AE}" pid="20" name="DBPEditor">
    <vt:lpwstr>151</vt:lpwstr>
  </property>
  <property fmtid="{D5CDD505-2E9C-101B-9397-08002B2CF9AE}" pid="21" name="CCFileType">
    <vt:lpwstr>Supplemental File</vt:lpwstr>
  </property>
  <property fmtid="{D5CDD505-2E9C-101B-9397-08002B2CF9AE}" pid="22" name="DOwner">
    <vt:lpwstr>51</vt:lpwstr>
  </property>
  <property fmtid="{D5CDD505-2E9C-101B-9397-08002B2CF9AE}" pid="23" name="FileGUID">
    <vt:lpwstr>104b3bf7-260a-4cb5-bdd6-d62d476b3ec4</vt:lpwstr>
  </property>
  <property fmtid="{D5CDD505-2E9C-101B-9397-08002B2CF9AE}" pid="24" name="_Category">
    <vt:lpwstr/>
  </property>
  <property fmtid="{D5CDD505-2E9C-101B-9397-08002B2CF9AE}" pid="25" name="Categories">
    <vt:lpwstr/>
  </property>
  <property fmtid="{D5CDD505-2E9C-101B-9397-08002B2CF9AE}" pid="26" name="Approval Level">
    <vt:lpwstr/>
  </property>
  <property fmtid="{D5CDD505-2E9C-101B-9397-08002B2CF9AE}" pid="27" name="FileType">
    <vt:lpwstr>Excel</vt:lpwstr>
  </property>
  <property fmtid="{D5CDD505-2E9C-101B-9397-08002B2CF9AE}" pid="28" name="AuthorClassification">
    <vt:lpwstr>Darden Faculty</vt:lpwstr>
  </property>
  <property fmtid="{D5CDD505-2E9C-101B-9397-08002B2CF9AE}" pid="29" name="RelatedCases">
    <vt:lpwstr>none</vt:lpwstr>
  </property>
  <property fmtid="{D5CDD505-2E9C-101B-9397-08002B2CF9AE}" pid="30" name="DateOfApproval">
    <vt:lpwstr/>
  </property>
  <property fmtid="{D5CDD505-2E9C-101B-9397-08002B2CF9AE}" pid="31" name="Keywords">
    <vt:lpwstr/>
  </property>
  <property fmtid="{D5CDD505-2E9C-101B-9397-08002B2CF9AE}" pid="32" name="SPSAssistant">
    <vt:lpwstr>49</vt:lpwstr>
  </property>
  <property fmtid="{D5CDD505-2E9C-101B-9397-08002B2CF9AE}" pid="33" name="CheckinCommentLine">
    <vt:lpwstr/>
  </property>
  <property fmtid="{D5CDD505-2E9C-101B-9397-08002B2CF9AE}" pid="34" name="DateEditingEnded">
    <vt:lpwstr/>
  </property>
  <property fmtid="{D5CDD505-2E9C-101B-9397-08002B2CF9AE}" pid="35" name="_Author">
    <vt:lpwstr>schillm</vt:lpwstr>
  </property>
  <property fmtid="{D5CDD505-2E9C-101B-9397-08002B2CF9AE}" pid="36" name="_Comments">
    <vt:lpwstr/>
  </property>
  <property fmtid="{D5CDD505-2E9C-101B-9397-08002B2CF9AE}" pid="37" name="Assigned To">
    <vt:lpwstr/>
  </property>
  <property fmtid="{D5CDD505-2E9C-101B-9397-08002B2CF9AE}" pid="38" name="Status">
    <vt:lpwstr>In Editing</vt:lpwstr>
  </property>
  <property fmtid="{D5CDD505-2E9C-101B-9397-08002B2CF9AE}" pid="39" name="Subject">
    <vt:lpwstr/>
  </property>
  <property fmtid="{D5CDD505-2E9C-101B-9397-08002B2CF9AE}" pid="40" name="AddlAuthor">
    <vt:lpwstr/>
  </property>
  <property fmtid="{D5CDD505-2E9C-101B-9397-08002B2CF9AE}" pid="41" name="LogoPermission">
    <vt:lpwstr>No</vt:lpwstr>
  </property>
  <property fmtid="{D5CDD505-2E9C-101B-9397-08002B2CF9AE}" pid="42" name="Modified temp">
    <vt:lpwstr>2007-10-26T09:46:55Z</vt:lpwstr>
  </property>
  <property fmtid="{D5CDD505-2E9C-101B-9397-08002B2CF9AE}" pid="43" name="display_urn:schemas-microsoft-com:office:office#Modified_x0020_By_x0020_Temp">
    <vt:lpwstr>Alston, Sherry</vt:lpwstr>
  </property>
  <property fmtid="{D5CDD505-2E9C-101B-9397-08002B2CF9AE}" pid="44" name="_Status">
    <vt:lpwstr>In Editing</vt:lpwstr>
  </property>
  <property fmtid="{D5CDD505-2E9C-101B-9397-08002B2CF9AE}" pid="45" name="Modified By Temp">
    <vt:lpwstr>66</vt:lpwstr>
  </property>
  <property fmtid="{D5CDD505-2E9C-101B-9397-08002B2CF9AE}" pid="46" name="WorkflowCreationPath">
    <vt:lpwstr>b6d7353f-e61b-4a14-aef8-2815d0633212,10;b6d7353f-e61b-4a14-aef8-2815d0633212,10;b748db19-edc5-44e5-a2de-883bf10fe2f3,5;b748db19-edc5-44e5-a2de-883bf10fe2f3,5;b748db19-edc5-44e5-a2de-883bf10fe2f3,5;b748db19-edc5-44e5-a2de-883bf10fe2f3,5;b748db19-edc5-44e5-</vt:lpwstr>
  </property>
  <property fmtid="{D5CDD505-2E9C-101B-9397-08002B2CF9AE}" pid="47" name="ContentType">
    <vt:lpwstr>Document</vt:lpwstr>
  </property>
  <property fmtid="{D5CDD505-2E9C-101B-9397-08002B2CF9AE}" pid="48" name="display_urn:schemas-microsoft-com:office:office#Editor">
    <vt:lpwstr>Woods, Elizabeth (Beth)</vt:lpwstr>
  </property>
  <property fmtid="{D5CDD505-2E9C-101B-9397-08002B2CF9AE}" pid="49" name="display_urn:schemas-microsoft-com:office:office#Author">
    <vt:lpwstr>Alston, Sherry</vt:lpwstr>
  </property>
  <property fmtid="{D5CDD505-2E9C-101B-9397-08002B2CF9AE}" pid="50" name="Convert">
    <vt:lpwstr>0</vt:lpwstr>
  </property>
  <property fmtid="{D5CDD505-2E9C-101B-9397-08002B2CF9AE}" pid="51" name="Processed">
    <vt:lpwstr>0</vt:lpwstr>
  </property>
  <property fmtid="{D5CDD505-2E9C-101B-9397-08002B2CF9AE}" pid="52" name="Editing Status">
    <vt:lpwstr>Metadata Review Complete</vt:lpwstr>
  </property>
  <property fmtid="{D5CDD505-2E9C-101B-9397-08002B2CF9AE}" pid="53" name="Edit Type">
    <vt:lpwstr>SWAT/Truncated</vt:lpwstr>
  </property>
  <property fmtid="{D5CDD505-2E9C-101B-9397-08002B2CF9AE}" pid="54" name="PrimaryAuthor">
    <vt:lpwstr>Michael Schill</vt:lpwstr>
  </property>
  <property fmtid="{D5CDD505-2E9C-101B-9397-08002B2CF9AE}" pid="55" name="ContentTypeId">
    <vt:lpwstr>0x010100ACE423D29324CE4C81F8A9ED93508B14</vt:lpwstr>
  </property>
  <property fmtid="{D5CDD505-2E9C-101B-9397-08002B2CF9AE}" pid="56" name="Update Permissions">
    <vt:bool>false</vt:bool>
  </property>
  <property fmtid="{D5CDD505-2E9C-101B-9397-08002B2CF9AE}" pid="57" name="SWAT">
    <vt:lpwstr>true</vt:lpwstr>
  </property>
  <property fmtid="{D5CDD505-2E9C-101B-9397-08002B2CF9AE}" pid="58" name="2nd Editor*">
    <vt:lpwstr/>
  </property>
  <property fmtid="{D5CDD505-2E9C-101B-9397-08002B2CF9AE}" pid="59" name="Admin Assistant">
    <vt:lpwstr>Oklesson, Lauren241</vt:lpwstr>
  </property>
  <property fmtid="{D5CDD505-2E9C-101B-9397-08002B2CF9AE}" pid="60" name="Submitted By">
    <vt:lpwstr>MullinL@darden.virginia.edu</vt:lpwstr>
  </property>
  <property fmtid="{D5CDD505-2E9C-101B-9397-08002B2CF9AE}" pid="61" name="Submission Status">
    <vt:lpwstr>Accepted</vt:lpwstr>
  </property>
  <property fmtid="{D5CDD505-2E9C-101B-9397-08002B2CF9AE}" pid="62" name="Email Time Stamp">
    <vt:filetime>2016-10-04T14:33:00Z</vt:filetime>
  </property>
  <property fmtid="{D5CDD505-2E9C-101B-9397-08002B2CF9AE}" pid="63" name="Workflow Template Name">
    <vt:lpwstr>13</vt:lpwstr>
  </property>
  <property fmtid="{D5CDD505-2E9C-101B-9397-08002B2CF9AE}" pid="64" name="Acceptance Task ID">
    <vt:lpwstr>32891</vt:lpwstr>
  </property>
  <property fmtid="{D5CDD505-2E9C-101B-9397-08002B2CF9AE}" pid="65" name="Reason For Rejection">
    <vt:lpwstr/>
  </property>
  <property fmtid="{D5CDD505-2E9C-101B-9397-08002B2CF9AE}" pid="66" name="Task ID">
    <vt:lpwstr>32377</vt:lpwstr>
  </property>
  <property fmtid="{D5CDD505-2E9C-101B-9397-08002B2CF9AE}" pid="67" name="Upload Mode">
    <vt:lpwstr>Email</vt:lpwstr>
  </property>
  <property fmtid="{D5CDD505-2E9C-101B-9397-08002B2CF9AE}" pid="68" name="Email Subject">
    <vt:lpwstr>FW: Update for F-1512</vt:lpwstr>
  </property>
  <property fmtid="{D5CDD505-2E9C-101B-9397-08002B2CF9AE}" pid="69" name="Submitter">
    <vt:lpwstr/>
  </property>
</Properties>
</file>